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 E7490\Downloads\"/>
    </mc:Choice>
  </mc:AlternateContent>
  <xr:revisionPtr revIDLastSave="0" documentId="13_ncr:1_{EFA88EFA-5530-4F62-AA80-769712D5A584}" xr6:coauthVersionLast="47" xr6:coauthVersionMax="47" xr10:uidLastSave="{00000000-0000-0000-0000-000000000000}"/>
  <bookViews>
    <workbookView xWindow="-110" yWindow="-110" windowWidth="19420" windowHeight="11020" tabRatio="849" activeTab="1" xr2:uid="{00000000-000D-0000-FFFF-FFFF00000000}"/>
  </bookViews>
  <sheets>
    <sheet name="Instructions" sheetId="22" r:id="rId1"/>
    <sheet name="Dataset" sheetId="1" r:id="rId2"/>
    <sheet name="Task_2" sheetId="18" r:id="rId3"/>
    <sheet name="Task_1" sheetId="15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Data">Dataset!$A$2:$X$40</definedName>
    <definedName name="Headers">Dataset!$A$1:$X$1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0" i="18" l="1"/>
  <c r="D30" i="18"/>
  <c r="E30" i="18"/>
  <c r="F30" i="18"/>
  <c r="B30" i="18"/>
  <c r="C5" i="15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6" i="18"/>
  <c r="D6" i="18"/>
  <c r="E6" i="18"/>
  <c r="F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22" i="19"/>
  <c r="D12" i="19"/>
  <c r="D13" i="19"/>
  <c r="D14" i="19"/>
  <c r="D15" i="19"/>
  <c r="D16" i="19"/>
  <c r="D17" i="19"/>
  <c r="D18" i="19"/>
  <c r="D19" i="19"/>
  <c r="D20" i="19"/>
  <c r="D21" i="19"/>
  <c r="F31" i="18"/>
  <c r="C31" i="18"/>
  <c r="B31" i="18"/>
  <c r="C6" i="19"/>
  <c r="B6" i="19"/>
  <c r="E31" i="18"/>
  <c r="D31" i="18"/>
  <c r="E28" i="18" l="1"/>
  <c r="B29" i="18"/>
  <c r="C29" i="18"/>
  <c r="C28" i="18"/>
  <c r="F29" i="18"/>
  <c r="E29" i="18"/>
  <c r="B28" i="18"/>
  <c r="D29" i="18"/>
  <c r="F28" i="18"/>
  <c r="D28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31" i="20"/>
  <c r="F32" i="20"/>
  <c r="F24" i="20"/>
  <c r="F25" i="20"/>
  <c r="F28" i="20"/>
  <c r="F35" i="20"/>
  <c r="F29" i="20"/>
  <c r="F26" i="20"/>
  <c r="F34" i="20"/>
  <c r="F27" i="20"/>
  <c r="F33" i="20"/>
  <c r="F23" i="20"/>
  <c r="F30" i="20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<sst xmlns="http://schemas.openxmlformats.org/spreadsheetml/2006/main" count="405" uniqueCount="182">
  <si>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</si>
  <si>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</si>
  <si>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</si>
  <si>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</si>
  <si>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</si>
  <si>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</si>
  <si>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</si>
  <si>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</si>
  <si>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</si>
  <si>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</si>
  <si>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</si>
  <si>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</si>
  <si>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</si>
  <si>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</si>
  <si>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</si>
  <si>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</si>
  <si>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</si>
  <si>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</si>
  <si>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</si>
  <si>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</si>
  <si>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</si>
  <si>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</si>
  <si>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</si>
  <si>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</si>
  <si>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</si>
  <si>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</si>
  <si>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</si>
  <si>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</si>
  <si>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</si>
  <si>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</si>
  <si>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</si>
  <si>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</si>
  <si>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</si>
  <si>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</si>
  <si>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</si>
  <si>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</si>
  <si>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</si>
  <si>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</si>
  <si>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</si>
  <si>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</si>
  <si>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</si>
  <si>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</si>
  <si>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</si>
  <si>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</si>
  <si>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</si>
  <si>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</si>
  <si>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</si>
  <si>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</si>
  <si>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</si>
  <si>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</si>
  <si>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</si>
  <si>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</si>
  <si>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</si>
  <si>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</si>
  <si>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</si>
  <si>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</si>
  <si>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</si>
  <si>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</si>
  <si>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</si>
  <si>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</si>
  <si>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</si>
  <si>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</si>
  <si>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</si>
  <si>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</si>
  <si>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</si>
  <si>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</si>
  <si>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</si>
  <si>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</si>
  <si>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</si>
  <si>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</si>
  <si>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</si>
  <si>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</si>
  <si>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</si>
  <si>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</si>
  <si>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</si>
  <si>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</si>
  <si>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</si>
  <si>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</si>
  <si>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</si>
  <si>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</si>
  <si>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</si>
  <si>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</si>
  <si>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</si>
  <si>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</si>
  <si>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</si>
  <si>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</si>
  <si>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</si>
  <si>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</si>
  <si>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</si>
  <si>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</si>
  <si>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</si>
  <si>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</si>
  <si>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</si>
  <si>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</si>
  <si>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</si>
  <si>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</si>
  <si>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</si>
  <si>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</si>
  <si>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</si>
  <si>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</si>
  <si>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</si>
  <si>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</si>
  <si>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</si>
  <si>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</si>
  <si>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</si>
  <si>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</si>
  <si>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</si>
  <si>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</si>
  <si>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</si>
  <si>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</si>
  <si>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</si>
  <si>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</si>
  <si>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</si>
  <si>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</si>
  <si>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</si>
  <si>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</si>
  <si>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</si>
  <si>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</si>
  <si>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</si>
  <si>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</si>
  <si>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</si>
  <si>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</si>
  <si>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</si>
  <si>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</si>
  <si>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</si>
  <si>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</si>
  <si>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</si>
  <si>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</si>
  <si>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</si>
  <si>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</si>
  <si>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</si>
  <si>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</si>
  <si>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</si>
  <si>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</si>
  <si>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</si>
  <si>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</si>
  <si>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</si>
  <si>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</si>
  <si>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</si>
  <si>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</si>
  <si>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</si>
  <si>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</si>
  <si>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</si>
  <si>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</si>
  <si>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</si>
  <si>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</si>
  <si>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</si>
  <si>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</si>
  <si>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</si>
  <si>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</si>
  <si>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</si>
  <si>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</si>
  <si>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</si>
  <si>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</si>
  <si>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</si>
  <si>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</si>
  <si>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</si>
  <si>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</si>
  <si>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</si>
  <si>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</si>
  <si>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</si>
  <si>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</si>
  <si>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</si>
  <si>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</si>
  <si>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</si>
  <si>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</si>
  <si>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</si>
  <si>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</si>
  <si>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</si>
  <si>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</si>
  <si>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</si>
  <si>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</si>
  <si>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</si>
  <si>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</si>
  <si>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</si>
  <si>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</si>
  <si>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</si>
  <si>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Formulae</t>
  </si>
  <si>
    <t>Used Vlookup,match &amp; Index functions</t>
  </si>
  <si>
    <t>First I have used Vlookup function to find names from Table B, then to get the row I used Match function &amp; Index function.</t>
  </si>
  <si>
    <t xml:space="preserve">In ribbon data tab&gt; In data tools&gt; text to columns </t>
  </si>
  <si>
    <t xml:space="preserve">I have selected the cells that we want to split then I used text to columns option finally splited the cells using delimiter '-'.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</si>
</sst>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theme="9" tint="0.39994506668294322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2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="72" zoomScaleNormal="100" workbookViewId="0">
      <pane ySplit="1" topLeftCell="A2" activePane="bottomLeft" state="frozen"/>
      <selection pane="bottomLeft" activeCell="S29" sqref="S29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4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J32">
    <cfRule type="cellIs" dxfId="2" priority="3" operator="equal">
      <formula>-1</formula>
    </cfRule>
  </conditionalFormatting>
  <conditionalFormatting sqref="A2:X40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1"/>
  <sheetViews>
    <sheetView topLeftCell="A14" zoomScale="88" zoomScaleNormal="10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2" width="25.5" style="2" customWidth="1"/>
    <col min="3" max="3" width="29.5" style="2" customWidth="1"/>
    <col min="4" max="4" width="25.09765625" style="2" customWidth="1"/>
    <col min="5" max="5" width="26.19921875" style="2" customWidth="1"/>
    <col min="6" max="6" width="25.699218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 t="shared" ref="B6:F15" si="0">VLOOKUP($A6,Data,MATCH(B$5,Headers,0),FALSE)</f>
        <v>2.7</v>
      </c>
      <c r="C6" s="11">
        <f t="shared" si="0"/>
        <v>7.6</v>
      </c>
      <c r="D6" s="11">
        <f t="shared" si="0"/>
        <v>4.2</v>
      </c>
      <c r="E6" s="11">
        <f t="shared" si="0"/>
        <v>8.9</v>
      </c>
      <c r="F6" s="11">
        <f t="shared" si="0"/>
        <v>4.2</v>
      </c>
    </row>
    <row r="7" spans="1:7" ht="14.5" x14ac:dyDescent="0.35">
      <c r="A7" s="7" t="s">
        <v>4</v>
      </c>
      <c r="B7" s="11">
        <f t="shared" si="0"/>
        <v>2.7</v>
      </c>
      <c r="C7" s="11">
        <f t="shared" si="0"/>
        <v>7.6</v>
      </c>
      <c r="D7" s="11">
        <f t="shared" si="0"/>
        <v>4.2</v>
      </c>
      <c r="E7" s="11">
        <f t="shared" si="0"/>
        <v>8.9</v>
      </c>
      <c r="F7" s="11">
        <f t="shared" si="0"/>
        <v>4.2</v>
      </c>
    </row>
    <row r="8" spans="1:7" ht="14.5" x14ac:dyDescent="0.35">
      <c r="A8" s="7" t="s">
        <v>7</v>
      </c>
      <c r="B8" s="11">
        <f t="shared" si="0"/>
        <v>3.6</v>
      </c>
      <c r="C8" s="11">
        <f t="shared" si="0"/>
        <v>11.1</v>
      </c>
      <c r="D8" s="11">
        <f t="shared" si="0"/>
        <v>5.8</v>
      </c>
      <c r="E8" s="11">
        <f t="shared" si="0"/>
        <v>12.2</v>
      </c>
      <c r="F8" s="11">
        <f t="shared" si="0"/>
        <v>5.8</v>
      </c>
    </row>
    <row r="9" spans="1:7" ht="14.5" x14ac:dyDescent="0.35">
      <c r="A9" s="7" t="s">
        <v>8</v>
      </c>
      <c r="B9" s="11">
        <f t="shared" si="0"/>
        <v>4.9000000000000004</v>
      </c>
      <c r="C9" s="11">
        <f t="shared" si="0"/>
        <v>13.3</v>
      </c>
      <c r="D9" s="11">
        <f t="shared" si="0"/>
        <v>8.1</v>
      </c>
      <c r="E9" s="11">
        <f t="shared" si="0"/>
        <v>17</v>
      </c>
      <c r="F9" s="11">
        <f t="shared" si="0"/>
        <v>8.1</v>
      </c>
    </row>
    <row r="10" spans="1:7" ht="14.5" x14ac:dyDescent="0.35">
      <c r="A10" s="7" t="s">
        <v>11</v>
      </c>
      <c r="B10" s="11">
        <f t="shared" si="0"/>
        <v>9.4</v>
      </c>
      <c r="C10" s="11">
        <f t="shared" si="0"/>
        <v>28.3</v>
      </c>
      <c r="D10" s="11">
        <f t="shared" si="0"/>
        <v>16.100000000000001</v>
      </c>
      <c r="E10" s="11">
        <f t="shared" si="0"/>
        <v>32.799999999999997</v>
      </c>
      <c r="F10" s="11">
        <f t="shared" si="0"/>
        <v>16.100000000000001</v>
      </c>
    </row>
    <row r="11" spans="1:7" ht="14.5" x14ac:dyDescent="0.35">
      <c r="A11" s="7" t="s">
        <v>12</v>
      </c>
      <c r="B11" s="11">
        <f t="shared" si="0"/>
        <v>11.6</v>
      </c>
      <c r="C11" s="11">
        <f t="shared" si="0"/>
        <v>35.200000000000003</v>
      </c>
      <c r="D11" s="11">
        <f t="shared" si="0"/>
        <v>21.3</v>
      </c>
      <c r="E11" s="11">
        <f t="shared" si="0"/>
        <v>43</v>
      </c>
      <c r="F11" s="11">
        <f t="shared" si="0"/>
        <v>21.3</v>
      </c>
    </row>
    <row r="12" spans="1:7" ht="14.5" x14ac:dyDescent="0.35">
      <c r="A12" s="7" t="s">
        <v>14</v>
      </c>
      <c r="B12" s="11">
        <f t="shared" si="0"/>
        <v>18.399999999999999</v>
      </c>
      <c r="C12" s="11">
        <f t="shared" si="0"/>
        <v>55.6</v>
      </c>
      <c r="D12" s="11">
        <f t="shared" si="0"/>
        <v>33.799999999999997</v>
      </c>
      <c r="E12" s="11">
        <f t="shared" si="0"/>
        <v>67.900000000000006</v>
      </c>
      <c r="F12" s="11">
        <f t="shared" si="0"/>
        <v>33.799999999999997</v>
      </c>
    </row>
    <row r="13" spans="1:7" ht="14.5" x14ac:dyDescent="0.35">
      <c r="A13" s="7" t="s">
        <v>15</v>
      </c>
      <c r="B13" s="11">
        <f t="shared" si="0"/>
        <v>0</v>
      </c>
      <c r="C13" s="11">
        <f t="shared" si="0"/>
        <v>0</v>
      </c>
      <c r="D13" s="11">
        <f t="shared" si="0"/>
        <v>0</v>
      </c>
      <c r="E13" s="11">
        <f t="shared" si="0"/>
        <v>0</v>
      </c>
      <c r="F13" s="11">
        <f t="shared" si="0"/>
        <v>0</v>
      </c>
    </row>
    <row r="14" spans="1:7" ht="14.5" x14ac:dyDescent="0.35">
      <c r="A14" s="7" t="s">
        <v>16</v>
      </c>
      <c r="B14" s="11">
        <f t="shared" si="0"/>
        <v>21.9</v>
      </c>
      <c r="C14" s="11">
        <f t="shared" si="0"/>
        <v>61.5</v>
      </c>
      <c r="D14" s="11">
        <f t="shared" si="0"/>
        <v>40.1</v>
      </c>
      <c r="E14" s="11">
        <f t="shared" si="0"/>
        <v>76.599999999999994</v>
      </c>
      <c r="F14" s="11">
        <f t="shared" si="0"/>
        <v>40.1</v>
      </c>
    </row>
    <row r="15" spans="1:7" ht="14.5" x14ac:dyDescent="0.35">
      <c r="A15" s="7" t="s">
        <v>18</v>
      </c>
      <c r="B15" s="11">
        <f t="shared" si="0"/>
        <v>26.8</v>
      </c>
      <c r="C15" s="11">
        <f t="shared" si="0"/>
        <v>79.599999999999994</v>
      </c>
      <c r="D15" s="11">
        <f t="shared" si="0"/>
        <v>47.9</v>
      </c>
      <c r="E15" s="11">
        <f t="shared" si="0"/>
        <v>96.8</v>
      </c>
      <c r="F15" s="11">
        <f t="shared" si="0"/>
        <v>47.9</v>
      </c>
    </row>
    <row r="16" spans="1:7" ht="14.5" x14ac:dyDescent="0.35">
      <c r="A16" s="7" t="s">
        <v>20</v>
      </c>
      <c r="B16" s="11">
        <f t="shared" ref="B16:F27" si="1">VLOOKUP($A16,Data,MATCH(B$5,Headers,0),FALSE)</f>
        <v>28.5</v>
      </c>
      <c r="C16" s="11">
        <f t="shared" si="1"/>
        <v>85.4</v>
      </c>
      <c r="D16" s="11">
        <f t="shared" si="1"/>
        <v>52.3</v>
      </c>
      <c r="E16" s="11">
        <f t="shared" si="1"/>
        <v>106.1</v>
      </c>
      <c r="F16" s="11">
        <f t="shared" si="1"/>
        <v>52.3</v>
      </c>
    </row>
    <row r="17" spans="1:6" ht="14.5" x14ac:dyDescent="0.35">
      <c r="A17" s="7" t="s">
        <v>22</v>
      </c>
      <c r="B17" s="11">
        <f t="shared" si="1"/>
        <v>30.7</v>
      </c>
      <c r="C17" s="11">
        <f t="shared" si="1"/>
        <v>92.1</v>
      </c>
      <c r="D17" s="11">
        <f t="shared" si="1"/>
        <v>57</v>
      </c>
      <c r="E17" s="11">
        <f t="shared" si="1"/>
        <v>115.1</v>
      </c>
      <c r="F17" s="11">
        <f t="shared" si="1"/>
        <v>57</v>
      </c>
    </row>
    <row r="18" spans="1:6" ht="14.5" x14ac:dyDescent="0.35">
      <c r="A18" s="7" t="s">
        <v>23</v>
      </c>
      <c r="B18" s="11">
        <f t="shared" si="1"/>
        <v>33.799999999999997</v>
      </c>
      <c r="C18" s="11">
        <f t="shared" si="1"/>
        <v>101.3</v>
      </c>
      <c r="D18" s="11">
        <f t="shared" si="1"/>
        <v>61.4</v>
      </c>
      <c r="E18" s="11">
        <f t="shared" si="1"/>
        <v>124.4</v>
      </c>
      <c r="F18" s="11">
        <f t="shared" si="1"/>
        <v>61.4</v>
      </c>
    </row>
    <row r="19" spans="1:6" ht="14.5" x14ac:dyDescent="0.35">
      <c r="A19" s="7" t="s">
        <v>24</v>
      </c>
      <c r="B19" s="11">
        <f t="shared" si="1"/>
        <v>34.700000000000003</v>
      </c>
      <c r="C19" s="11">
        <f t="shared" si="1"/>
        <v>106.1</v>
      </c>
      <c r="D19" s="11">
        <f t="shared" si="1"/>
        <v>63.6</v>
      </c>
      <c r="E19" s="11">
        <f t="shared" si="1"/>
        <v>128.6</v>
      </c>
      <c r="F19" s="11">
        <f t="shared" si="1"/>
        <v>63.6</v>
      </c>
    </row>
    <row r="20" spans="1:6" ht="14.5" x14ac:dyDescent="0.35">
      <c r="A20" s="7" t="s">
        <v>28</v>
      </c>
      <c r="B20" s="11">
        <f t="shared" si="1"/>
        <v>0</v>
      </c>
      <c r="C20" s="11">
        <f t="shared" si="1"/>
        <v>0</v>
      </c>
      <c r="D20" s="11">
        <f t="shared" si="1"/>
        <v>0</v>
      </c>
      <c r="E20" s="11">
        <f t="shared" si="1"/>
        <v>0</v>
      </c>
      <c r="F20" s="11">
        <f t="shared" si="1"/>
        <v>0</v>
      </c>
    </row>
    <row r="21" spans="1:6" ht="14.5" x14ac:dyDescent="0.35">
      <c r="A21" s="7" t="s">
        <v>57</v>
      </c>
      <c r="B21" s="11">
        <f t="shared" si="1"/>
        <v>41.3</v>
      </c>
      <c r="C21" s="11">
        <f t="shared" si="1"/>
        <v>124.4</v>
      </c>
      <c r="D21" s="11">
        <f t="shared" si="1"/>
        <v>75</v>
      </c>
      <c r="E21" s="11">
        <f t="shared" si="1"/>
        <v>151.5</v>
      </c>
      <c r="F21" s="11">
        <f t="shared" si="1"/>
        <v>75</v>
      </c>
    </row>
    <row r="22" spans="1:6" ht="14.5" x14ac:dyDescent="0.35">
      <c r="A22" s="7" t="s">
        <v>58</v>
      </c>
      <c r="B22" s="11">
        <f t="shared" si="1"/>
        <v>-1</v>
      </c>
      <c r="C22" s="11">
        <f t="shared" si="1"/>
        <v>-1</v>
      </c>
      <c r="D22" s="11">
        <f t="shared" si="1"/>
        <v>-1</v>
      </c>
      <c r="E22" s="11">
        <f t="shared" si="1"/>
        <v>-1</v>
      </c>
      <c r="F22" s="11">
        <f t="shared" si="1"/>
        <v>-1</v>
      </c>
    </row>
    <row r="23" spans="1:6" ht="14.5" x14ac:dyDescent="0.35">
      <c r="A23" s="7" t="s">
        <v>31</v>
      </c>
      <c r="B23" s="11">
        <f t="shared" si="1"/>
        <v>45</v>
      </c>
      <c r="C23" s="11">
        <f t="shared" si="1"/>
        <v>133.4</v>
      </c>
      <c r="D23" s="11">
        <f t="shared" si="1"/>
        <v>79.400000000000006</v>
      </c>
      <c r="E23" s="11">
        <f t="shared" si="1"/>
        <v>160.9</v>
      </c>
      <c r="F23" s="11">
        <f t="shared" si="1"/>
        <v>79.400000000000006</v>
      </c>
    </row>
    <row r="24" spans="1:6" ht="14.5" x14ac:dyDescent="0.35">
      <c r="A24" s="7" t="s">
        <v>32</v>
      </c>
      <c r="B24" s="11">
        <f t="shared" si="1"/>
        <v>-1</v>
      </c>
      <c r="C24" s="11">
        <f t="shared" si="1"/>
        <v>-1</v>
      </c>
      <c r="D24" s="11">
        <f t="shared" si="1"/>
        <v>-1</v>
      </c>
      <c r="E24" s="11">
        <f t="shared" si="1"/>
        <v>-1</v>
      </c>
      <c r="F24" s="11">
        <f t="shared" si="1"/>
        <v>-1</v>
      </c>
    </row>
    <row r="25" spans="1:6" ht="14.5" x14ac:dyDescent="0.35">
      <c r="A25" s="7" t="s">
        <v>34</v>
      </c>
      <c r="B25" s="11">
        <f t="shared" si="1"/>
        <v>43.3</v>
      </c>
      <c r="C25" s="11">
        <f t="shared" si="1"/>
        <v>128.6</v>
      </c>
      <c r="D25" s="11">
        <f t="shared" si="1"/>
        <v>79.400000000000006</v>
      </c>
      <c r="E25" s="11">
        <f t="shared" si="1"/>
        <v>160.9</v>
      </c>
      <c r="F25" s="11">
        <f t="shared" si="1"/>
        <v>79.400000000000006</v>
      </c>
    </row>
    <row r="26" spans="1:6" ht="14.5" x14ac:dyDescent="0.35">
      <c r="A26" s="7" t="s">
        <v>37</v>
      </c>
      <c r="B26" s="11">
        <f t="shared" si="1"/>
        <v>49.1</v>
      </c>
      <c r="C26" s="11">
        <f t="shared" si="1"/>
        <v>146.80000000000001</v>
      </c>
      <c r="D26" s="11">
        <f t="shared" si="1"/>
        <v>90.9</v>
      </c>
      <c r="E26" s="11">
        <f t="shared" si="1"/>
        <v>183.5</v>
      </c>
      <c r="F26" s="11">
        <f t="shared" si="1"/>
        <v>90.9</v>
      </c>
    </row>
    <row r="27" spans="1:6" ht="14.5" x14ac:dyDescent="0.35">
      <c r="A27" s="7" t="s">
        <v>39</v>
      </c>
      <c r="B27" s="11">
        <f t="shared" si="1"/>
        <v>51.8</v>
      </c>
      <c r="C27" s="11">
        <f t="shared" si="1"/>
        <v>156.4</v>
      </c>
      <c r="D27" s="11">
        <f t="shared" si="1"/>
        <v>93.1</v>
      </c>
      <c r="E27" s="11">
        <f t="shared" si="1"/>
        <v>188.1</v>
      </c>
      <c r="F27" s="11">
        <f t="shared" si="1"/>
        <v>93.1</v>
      </c>
    </row>
    <row r="28" spans="1:6" ht="14.5" x14ac:dyDescent="0.35">
      <c r="A28" s="18" t="s">
        <v>82</v>
      </c>
      <c r="B28" s="11">
        <f>MIN(B6:B27)</f>
        <v>-1</v>
      </c>
      <c r="C28" s="11">
        <f t="shared" ref="C28:F28" si="2">MIN(C6:C27)</f>
        <v>-1</v>
      </c>
      <c r="D28" s="11">
        <f t="shared" si="2"/>
        <v>-1</v>
      </c>
      <c r="E28" s="11">
        <f t="shared" si="2"/>
        <v>-1</v>
      </c>
      <c r="F28" s="11">
        <f t="shared" si="2"/>
        <v>-1</v>
      </c>
    </row>
    <row r="29" spans="1:6" ht="14.5" x14ac:dyDescent="0.35">
      <c r="A29" s="18" t="s">
        <v>83</v>
      </c>
      <c r="B29" s="11">
        <f>MAX(B6:B27)</f>
        <v>51.8</v>
      </c>
      <c r="C29" s="11">
        <f t="shared" ref="C29:F29" si="3">MAX(C6:C27)</f>
        <v>156.4</v>
      </c>
      <c r="D29" s="11">
        <f t="shared" si="3"/>
        <v>93.1</v>
      </c>
      <c r="E29" s="11">
        <f t="shared" si="3"/>
        <v>188.1</v>
      </c>
      <c r="F29" s="11">
        <f t="shared" si="3"/>
        <v>93.1</v>
      </c>
    </row>
    <row r="30" spans="1:6" ht="14.5" x14ac:dyDescent="0.35">
      <c r="A30" s="18" t="s">
        <v>84</v>
      </c>
      <c r="B30" s="11">
        <f>ROUND(AVERAGE(B6:B27),2)</f>
        <v>20.83</v>
      </c>
      <c r="C30" s="11">
        <f t="shared" ref="C30:F30" si="4">ROUND(AVERAGE(C6:C27),2)</f>
        <v>62.38</v>
      </c>
      <c r="D30" s="11">
        <f t="shared" si="4"/>
        <v>37.799999999999997</v>
      </c>
      <c r="E30" s="11">
        <f t="shared" si="4"/>
        <v>76.42</v>
      </c>
      <c r="F30" s="11">
        <f t="shared" si="4"/>
        <v>37.799999999999997</v>
      </c>
    </row>
    <row r="31" spans="1:6" x14ac:dyDescent="0.3">
      <c r="B31" s="2" t="str">
        <f ca="1">_xlfn.FORMULATEXT(B30)</f>
        <v>=ROUND(AVERAGE(B6:B27),2)</v>
      </c>
      <c r="C31" s="2" t="str">
        <f t="shared" ref="C31:F31" ca="1" si="5">_xlfn.FORMULATEXT(C30)</f>
        <v>=ROUND(AVERAGE(C6:C27),2)</v>
      </c>
      <c r="D31" s="2" t="str">
        <f t="shared" ca="1" si="5"/>
        <v>=ROUND(AVERAGE(D6:D27),2)</v>
      </c>
      <c r="E31" s="2" t="str">
        <f t="shared" ca="1" si="5"/>
        <v>=ROUND(AVERAGE(E6:E27),2)</v>
      </c>
      <c r="F31" s="2" t="str">
        <f t="shared" ca="1" si="5"/>
        <v>=ROUND(AVERAGE(F6:F27),2)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3" sqref="C3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>
        <f>SUMIF(Dataset!H2:H40,"&gt;20",Dataset!H2:H40)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87"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1" t="s">
        <v>53</v>
      </c>
      <c r="B5" s="38" t="s">
        <v>180</v>
      </c>
    </row>
    <row r="6" spans="1:10" ht="18.5" x14ac:dyDescent="0.45">
      <c r="A6" s="41" t="s">
        <v>152</v>
      </c>
      <c r="B6" s="38" t="s">
        <v>181</v>
      </c>
    </row>
    <row r="7" spans="1:10" ht="18.5" x14ac:dyDescent="0.45">
      <c r="A7" s="41"/>
      <c r="B7" s="38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4"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0" t="s">
        <v>85</v>
      </c>
      <c r="B1" s="39" t="s">
        <v>166</v>
      </c>
    </row>
    <row r="2" spans="1:4" ht="18.5" x14ac:dyDescent="0.45">
      <c r="B2" s="38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53</v>
      </c>
      <c r="B6" s="1" t="str">
        <f ca="1">_xlfn.FORMULATEXT(D12)</f>
        <v>=IFNA(C12,20)</v>
      </c>
      <c r="C6" s="2" t="str">
        <f ca="1">_xlfn.FORMULATEXT(D22)</f>
        <v>=SUM(D12:D21)</v>
      </c>
    </row>
    <row r="7" spans="1:4" ht="14.5" x14ac:dyDescent="0.35">
      <c r="A7" s="3" t="s">
        <v>152</v>
      </c>
      <c r="B7" s="1"/>
    </row>
    <row r="10" spans="1:4" ht="23.5" x14ac:dyDescent="0.55000000000000004">
      <c r="A10" s="17" t="s">
        <v>161</v>
      </c>
    </row>
    <row r="11" spans="1:4" ht="14.5" x14ac:dyDescent="0.35">
      <c r="A11" s="30" t="s">
        <v>86</v>
      </c>
      <c r="B11" s="16" t="s">
        <v>87</v>
      </c>
      <c r="C11" s="16" t="s">
        <v>88</v>
      </c>
    </row>
    <row r="12" spans="1:4" ht="14.5" x14ac:dyDescent="0.35">
      <c r="A12" s="30">
        <v>44927</v>
      </c>
      <c r="B12" s="16" t="s">
        <v>59</v>
      </c>
      <c r="C12" s="16">
        <v>200</v>
      </c>
      <c r="D12" s="2">
        <f>_xlfn.IFNA(C12,20)</f>
        <v>200</v>
      </c>
    </row>
    <row r="13" spans="1:4" ht="14.5" x14ac:dyDescent="0.35">
      <c r="A13" s="30">
        <v>44928</v>
      </c>
      <c r="B13" s="16" t="s">
        <v>60</v>
      </c>
      <c r="C13" s="16" t="e">
        <v>#N/A</v>
      </c>
      <c r="D13" s="2">
        <f t="shared" ref="D13:D21" si="0">_xlfn.IFNA(C13,20)</f>
        <v>20</v>
      </c>
    </row>
    <row r="14" spans="1:4" ht="14.5" x14ac:dyDescent="0.35">
      <c r="A14" s="30">
        <v>44929</v>
      </c>
      <c r="B14" s="16" t="s">
        <v>61</v>
      </c>
      <c r="C14" s="16">
        <v>50</v>
      </c>
      <c r="D14" s="2">
        <f t="shared" si="0"/>
        <v>50</v>
      </c>
    </row>
    <row r="15" spans="1:4" ht="14.5" x14ac:dyDescent="0.35">
      <c r="A15" s="30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5" x14ac:dyDescent="0.35">
      <c r="A16" s="30">
        <v>44931</v>
      </c>
      <c r="B16" s="16" t="s">
        <v>63</v>
      </c>
      <c r="C16" s="16">
        <v>10</v>
      </c>
      <c r="D16" s="2">
        <f t="shared" si="0"/>
        <v>10</v>
      </c>
    </row>
    <row r="17" spans="1:4" ht="14.5" x14ac:dyDescent="0.35">
      <c r="A17" s="30">
        <v>44932</v>
      </c>
      <c r="B17" s="16" t="s">
        <v>153</v>
      </c>
      <c r="C17" s="16">
        <v>150</v>
      </c>
      <c r="D17" s="2">
        <f t="shared" si="0"/>
        <v>150</v>
      </c>
    </row>
    <row r="18" spans="1:4" ht="14.5" x14ac:dyDescent="0.35">
      <c r="A18" s="30">
        <v>44933</v>
      </c>
      <c r="B18" s="16" t="s">
        <v>154</v>
      </c>
      <c r="C18" s="16">
        <v>80</v>
      </c>
      <c r="D18" s="2">
        <f t="shared" si="0"/>
        <v>80</v>
      </c>
    </row>
    <row r="19" spans="1:4" ht="14.5" x14ac:dyDescent="0.35">
      <c r="A19" s="30">
        <v>44934</v>
      </c>
      <c r="B19" s="16" t="s">
        <v>155</v>
      </c>
      <c r="C19" s="16" t="e">
        <v>#N/A</v>
      </c>
      <c r="D19" s="2">
        <f t="shared" si="0"/>
        <v>20</v>
      </c>
    </row>
    <row r="20" spans="1:4" ht="14.5" x14ac:dyDescent="0.35">
      <c r="A20" s="30">
        <v>44935</v>
      </c>
      <c r="B20" s="16" t="s">
        <v>156</v>
      </c>
      <c r="C20" s="16">
        <v>30</v>
      </c>
      <c r="D20" s="2">
        <f t="shared" si="0"/>
        <v>30</v>
      </c>
    </row>
    <row r="21" spans="1:4" ht="14.5" x14ac:dyDescent="0.35">
      <c r="A21" s="30">
        <v>44936</v>
      </c>
      <c r="B21" s="16" t="s">
        <v>157</v>
      </c>
      <c r="C21" s="16" t="e">
        <v>#N/A</v>
      </c>
      <c r="D21" s="2">
        <f t="shared" si="0"/>
        <v>20</v>
      </c>
    </row>
    <row r="22" spans="1:4" ht="14.5" x14ac:dyDescent="0.35">
      <c r="B22" s="16" t="s">
        <v>158</v>
      </c>
      <c r="C22" s="24"/>
      <c r="D22" s="2">
        <f>SUM(D12:D21)</f>
        <v>600</v>
      </c>
    </row>
  </sheetData>
  <phoneticPr fontId="10" type="noConversion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="88" zoomScaleNormal="100" workbookViewId="0">
      <selection activeCell="C5" sqref="C5"/>
    </sheetView>
  </sheetViews>
  <sheetFormatPr defaultColWidth="11" defaultRowHeight="13" x14ac:dyDescent="0.3"/>
  <cols>
    <col min="1" max="1" width="28.19921875" style="2" bestFit="1" customWidth="1"/>
    <col min="2" max="2" width="11" style="2" customWidth="1"/>
    <col min="3" max="3" width="88.3984375" style="2" customWidth="1"/>
    <col min="4" max="5" width="11" style="2"/>
    <col min="6" max="6" width="53.8984375" style="2" bestFit="1" customWidth="1"/>
    <col min="7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150</v>
      </c>
    </row>
    <row r="4" spans="1:14" ht="18.5" x14ac:dyDescent="0.45">
      <c r="A4" s="41" t="s">
        <v>53</v>
      </c>
      <c r="B4" s="1"/>
      <c r="C4" s="2" t="s">
        <v>178</v>
      </c>
    </row>
    <row r="5" spans="1:14" ht="18.5" x14ac:dyDescent="0.45">
      <c r="A5" s="41" t="s">
        <v>152</v>
      </c>
      <c r="B5" s="1"/>
      <c r="C5" s="2" t="s">
        <v>179</v>
      </c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100</v>
      </c>
      <c r="B22" s="16" t="s">
        <v>101</v>
      </c>
      <c r="C22" s="15" t="s">
        <v>102</v>
      </c>
      <c r="F22" s="2" t="s">
        <v>177</v>
      </c>
    </row>
    <row r="23" spans="1:14" ht="14.5" x14ac:dyDescent="0.35">
      <c r="A23" s="7">
        <v>10100</v>
      </c>
      <c r="B23" s="11">
        <v>10102</v>
      </c>
      <c r="C23" s="42">
        <f>INDEX($A$9:$J$18,MATCH(VLOOKUP(A23,$M$9:$N$18,2,FALSE),$A$9:$J$9,0),MATCH(VLOOKUP(B23,$M$9:$N$18,2,FALSE),$A$9:$A$18))</f>
        <v>95</v>
      </c>
      <c r="F23" s="2" t="str">
        <f ca="1">_xlfn.FORMULATEXT(C23)</f>
        <v>=INDEX($A$9:$J$18,MATCH(VLOOKUP(A23,$M$9:$N$18,2,FALSE),$A$9:$J$9,0),MATCH(VLOOKUP(B23,$M$9:$N$18,2,FALSE),$A$9:$A$18))</v>
      </c>
    </row>
    <row r="24" spans="1:14" ht="14.5" x14ac:dyDescent="0.35">
      <c r="A24" s="7">
        <v>10100</v>
      </c>
      <c r="B24" s="11">
        <v>10104</v>
      </c>
      <c r="C24" s="42">
        <f t="shared" ref="C24:C35" si="0">INDEX($A$9:$J$18,MATCH(VLOOKUP(A24,$M$9:$N$18,2,FALSE),$A$9:$J$9,0),MATCH(VLOOKUP(B24,$M$9:$N$18,2,FALSE),$A$9:$A$18))</f>
        <v>-1</v>
      </c>
      <c r="F24" s="2" t="str">
        <f t="shared" ref="F24:F35" ca="1" si="1">_xlfn.FORMULATEXT(C24)</f>
        <v>=INDEX($A$9:$J$18,MATCH(VLOOKUP(A24,$M$9:$N$18,2,FALSE),$A$9:$J$9,0),MATCH(VLOOKUP(B24,$M$9:$N$18,2,FALSE),$A$9:$A$18))</v>
      </c>
    </row>
    <row r="25" spans="1:14" ht="14.5" x14ac:dyDescent="0.35">
      <c r="A25" s="7">
        <v>10108</v>
      </c>
      <c r="B25" s="11">
        <v>10102</v>
      </c>
      <c r="C25" s="42">
        <f t="shared" si="0"/>
        <v>160</v>
      </c>
      <c r="F25" s="2" t="str">
        <f t="shared" ca="1" si="1"/>
        <v>=INDEX($A$9:$J$18,MATCH(VLOOKUP(A25,$M$9:$N$18,2,FALSE),$A$9:$J$9,0),MATCH(VLOOKUP(B25,$M$9:$N$18,2,FALSE),$A$9:$A$18))</v>
      </c>
    </row>
    <row r="26" spans="1:14" ht="14.5" x14ac:dyDescent="0.35">
      <c r="A26" s="7">
        <v>10100</v>
      </c>
      <c r="B26" s="11">
        <v>10106</v>
      </c>
      <c r="C26" s="42">
        <f t="shared" si="0"/>
        <v>185</v>
      </c>
      <c r="F26" s="2" t="str">
        <f t="shared" ca="1" si="1"/>
        <v>=INDEX($A$9:$J$18,MATCH(VLOOKUP(A26,$M$9:$N$18,2,FALSE),$A$9:$J$9,0),MATCH(VLOOKUP(B26,$M$9:$N$18,2,FALSE),$A$9:$A$18))</v>
      </c>
    </row>
    <row r="27" spans="1:14" ht="14.5" x14ac:dyDescent="0.35">
      <c r="A27" s="7">
        <v>10108</v>
      </c>
      <c r="B27" s="11">
        <v>10110</v>
      </c>
      <c r="C27" s="42">
        <f t="shared" si="0"/>
        <v>50</v>
      </c>
      <c r="F27" s="2" t="str">
        <f t="shared" ca="1" si="1"/>
        <v>=INDEX($A$9:$J$18,MATCH(VLOOKUP(A27,$M$9:$N$18,2,FALSE),$A$9:$J$9,0),MATCH(VLOOKUP(B27,$M$9:$N$18,2,FALSE),$A$9:$A$18))</v>
      </c>
    </row>
    <row r="28" spans="1:14" ht="14.5" x14ac:dyDescent="0.35">
      <c r="A28" s="7">
        <v>10102</v>
      </c>
      <c r="B28" s="11">
        <v>10104</v>
      </c>
      <c r="C28" s="42">
        <f t="shared" si="0"/>
        <v>-1</v>
      </c>
      <c r="F28" s="2" t="str">
        <f t="shared" ca="1" si="1"/>
        <v>=INDEX($A$9:$J$18,MATCH(VLOOKUP(A28,$M$9:$N$18,2,FALSE),$A$9:$J$9,0),MATCH(VLOOKUP(B28,$M$9:$N$18,2,FALSE),$A$9:$A$18))</v>
      </c>
    </row>
    <row r="29" spans="1:14" ht="14.5" x14ac:dyDescent="0.35">
      <c r="A29" s="7">
        <v>10106</v>
      </c>
      <c r="B29" s="11">
        <v>10108</v>
      </c>
      <c r="C29" s="42">
        <f t="shared" si="0"/>
        <v>70</v>
      </c>
      <c r="F29" s="2" t="str">
        <f t="shared" ca="1" si="1"/>
        <v>=INDEX($A$9:$J$18,MATCH(VLOOKUP(A29,$M$9:$N$18,2,FALSE),$A$9:$J$9,0),MATCH(VLOOKUP(B29,$M$9:$N$18,2,FALSE),$A$9:$A$18))</v>
      </c>
    </row>
    <row r="30" spans="1:14" ht="14.5" x14ac:dyDescent="0.35">
      <c r="A30" s="7">
        <v>10102</v>
      </c>
      <c r="B30" s="11">
        <v>10106</v>
      </c>
      <c r="C30" s="42">
        <f t="shared" si="0"/>
        <v>90</v>
      </c>
      <c r="F30" s="2" t="str">
        <f t="shared" ca="1" si="1"/>
        <v>=INDEX($A$9:$J$18,MATCH(VLOOKUP(A30,$M$9:$N$18,2,FALSE),$A$9:$J$9,0),MATCH(VLOOKUP(B30,$M$9:$N$18,2,FALSE),$A$9:$A$18))</v>
      </c>
    </row>
    <row r="31" spans="1:14" ht="14.5" x14ac:dyDescent="0.35">
      <c r="A31" s="7">
        <v>10110</v>
      </c>
      <c r="B31" s="11">
        <v>10114</v>
      </c>
      <c r="C31" s="42">
        <f t="shared" si="0"/>
        <v>180</v>
      </c>
      <c r="F31" s="2" t="str">
        <f t="shared" ca="1" si="1"/>
        <v>=INDEX($A$9:$J$18,MATCH(VLOOKUP(A31,$M$9:$N$18,2,FALSE),$A$9:$J$9,0),MATCH(VLOOKUP(B31,$M$9:$N$18,2,FALSE),$A$9:$A$18))</v>
      </c>
    </row>
    <row r="32" spans="1:14" ht="14.5" x14ac:dyDescent="0.35">
      <c r="A32" s="7">
        <v>10104</v>
      </c>
      <c r="B32" s="11">
        <v>10106</v>
      </c>
      <c r="C32" s="42">
        <f t="shared" si="0"/>
        <v>60</v>
      </c>
      <c r="F32" s="2" t="str">
        <f t="shared" ca="1" si="1"/>
        <v>=INDEX($A$9:$J$18,MATCH(VLOOKUP(A32,$M$9:$N$18,2,FALSE),$A$9:$J$9,0),MATCH(VLOOKUP(B32,$M$9:$N$18,2,FALSE),$A$9:$A$18))</v>
      </c>
    </row>
    <row r="33" spans="1:6" ht="14.5" x14ac:dyDescent="0.35">
      <c r="A33" s="7">
        <v>10110</v>
      </c>
      <c r="B33" s="11">
        <v>10112</v>
      </c>
      <c r="C33" s="42">
        <f t="shared" si="0"/>
        <v>115</v>
      </c>
      <c r="F33" s="2" t="str">
        <f t="shared" ca="1" si="1"/>
        <v>=INDEX($A$9:$J$18,MATCH(VLOOKUP(A33,$M$9:$N$18,2,FALSE),$A$9:$J$9,0),MATCH(VLOOKUP(B33,$M$9:$N$18,2,FALSE),$A$9:$A$18))</v>
      </c>
    </row>
    <row r="34" spans="1:6" ht="14.5" x14ac:dyDescent="0.35">
      <c r="A34" s="7">
        <v>10100</v>
      </c>
      <c r="B34" s="11">
        <v>10114</v>
      </c>
      <c r="C34" s="42">
        <f t="shared" si="0"/>
        <v>480</v>
      </c>
      <c r="F34" s="2" t="str">
        <f t="shared" ca="1" si="1"/>
        <v>=INDEX($A$9:$J$18,MATCH(VLOOKUP(A34,$M$9:$N$18,2,FALSE),$A$9:$J$9,0),MATCH(VLOOKUP(B34,$M$9:$N$18,2,FALSE),$A$9:$A$18))</v>
      </c>
    </row>
    <row r="35" spans="1:6" ht="14.5" x14ac:dyDescent="0.35">
      <c r="A35" s="8">
        <v>10112</v>
      </c>
      <c r="B35" s="12">
        <v>10116</v>
      </c>
      <c r="C35" s="42">
        <f t="shared" si="0"/>
        <v>105</v>
      </c>
      <c r="F35" s="2" t="str">
        <f t="shared" ca="1" si="1"/>
        <v>=INDEX($A$9:$J$18,MATCH(VLOOKUP(A35,$M$9:$N$18,2,FALSE),$A$9:$J$9,0),MATCH(VLOOKUP(B35,$M$9:$N$18,2,FALSE),$A$9:$A$18))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Instructions</vt:lpstr>
      <vt:lpstr>Dataset</vt:lpstr>
      <vt:lpstr>Task_2</vt:lpstr>
      <vt:lpstr>Task_1</vt:lpstr>
      <vt:lpstr>Task_3</vt:lpstr>
      <vt:lpstr>Task_4</vt:lpstr>
      <vt:lpstr>Task_5</vt:lpstr>
      <vt:lpstr>Data</vt:lpstr>
      <vt:lpstr>Headers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 E7490</cp:lastModifiedBy>
  <dcterms:created xsi:type="dcterms:W3CDTF">2015-02-10T17:33:11Z</dcterms:created>
  <dcterms:modified xsi:type="dcterms:W3CDTF">2024-10-24T15:17:52Z</dcterms:modified>
</cp:coreProperties>
</file>